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e796762dfc92f0/Área de Trabalho/Documentos/"/>
    </mc:Choice>
  </mc:AlternateContent>
  <xr:revisionPtr revIDLastSave="148" documentId="8_{657BA1E0-2EB4-4E33-86A3-480F845B5065}" xr6:coauthVersionLast="47" xr6:coauthVersionMax="47" xr10:uidLastSave="{3BEB4644-3B3F-44AA-A433-1445403D9C36}"/>
  <bookViews>
    <workbookView xWindow="-108" yWindow="-108" windowWidth="23256" windowHeight="12456" xr2:uid="{85AC25E4-9D97-47A9-884E-E9B926D23E73}"/>
  </bookViews>
  <sheets>
    <sheet name="sinannet_cnv_animaisbr18181717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9" i="1" l="1"/>
  <c r="AP29" i="1"/>
  <c r="U29" i="1"/>
  <c r="T29" i="1"/>
  <c r="S29" i="1"/>
  <c r="R29" i="1"/>
  <c r="Q29" i="1"/>
  <c r="P29" i="1"/>
  <c r="O29" i="1"/>
  <c r="N25" i="1"/>
  <c r="N26" i="1"/>
  <c r="N27" i="1"/>
  <c r="N2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" i="1"/>
  <c r="E29" i="1"/>
  <c r="F29" i="1"/>
  <c r="G29" i="1"/>
  <c r="H29" i="1"/>
  <c r="I29" i="1"/>
  <c r="J29" i="1"/>
  <c r="K29" i="1"/>
  <c r="L29" i="1"/>
  <c r="M29" i="1"/>
  <c r="D29" i="1"/>
  <c r="N29" i="1" l="1"/>
</calcChain>
</file>

<file path=xl/sharedStrings.xml><?xml version="1.0" encoding="utf-8"?>
<sst xmlns="http://schemas.openxmlformats.org/spreadsheetml/2006/main" count="126" uniqueCount="104">
  <si>
    <t>11 Rondônia</t>
  </si>
  <si>
    <t>12 Acre</t>
  </si>
  <si>
    <t>13 Amazonas</t>
  </si>
  <si>
    <t>14 Roraima</t>
  </si>
  <si>
    <t>15 Pará</t>
  </si>
  <si>
    <t>16 Amapá</t>
  </si>
  <si>
    <t>17 Tocantins</t>
  </si>
  <si>
    <t>21 Maranhão</t>
  </si>
  <si>
    <t>22 Piauí</t>
  </si>
  <si>
    <t>23 Ceará</t>
  </si>
  <si>
    <t>24 Rio Grande do Norte</t>
  </si>
  <si>
    <t>25 Paraíba</t>
  </si>
  <si>
    <t>26 Pernambuco</t>
  </si>
  <si>
    <t>27 Alagoas</t>
  </si>
  <si>
    <t>28 Sergipe</t>
  </si>
  <si>
    <t>29 Bahia</t>
  </si>
  <si>
    <t>31 Minas Gerais</t>
  </si>
  <si>
    <t>32 Espírito Santo</t>
  </si>
  <si>
    <t>33 Rio de Janeiro</t>
  </si>
  <si>
    <t>35 São Paulo</t>
  </si>
  <si>
    <t>41 Paraná</t>
  </si>
  <si>
    <t>42 Santa Catarina</t>
  </si>
  <si>
    <t>43 Rio Grande do Sul</t>
  </si>
  <si>
    <t>50 Mato Grosso do Sul</t>
  </si>
  <si>
    <t>51 Mato Grosso</t>
  </si>
  <si>
    <t>52 Goiás</t>
  </si>
  <si>
    <t>53 Distrito Federal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</si>
  <si>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</si>
  <si>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</si>
  <si>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</si>
  <si>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</si>
  <si>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</si>
  <si>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</si>
  <si>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</si>
  <si>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</si>
  <si>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y2024</t>
  </si>
  <si>
    <t>0 a 1 horas</t>
  </si>
  <si>
    <t>1 a 3 horas</t>
  </si>
  <si>
    <t>3 a 6 horas</t>
  </si>
  <si>
    <t>6 a 12 horas</t>
  </si>
  <si>
    <t>12 a 24 horas</t>
  </si>
  <si>
    <t>24 horas +</t>
  </si>
  <si>
    <t>UF</t>
  </si>
  <si>
    <t>00 Total</t>
  </si>
  <si>
    <t>y2015-2024</t>
  </si>
  <si>
    <t>Tempo_Ign/       Branco</t>
  </si>
  <si>
    <t>Unidade da Federação</t>
  </si>
  <si>
    <t>Region</t>
  </si>
  <si>
    <t>North</t>
  </si>
  <si>
    <t>Northeast</t>
  </si>
  <si>
    <t>Southeast</t>
  </si>
  <si>
    <t>South</t>
  </si>
  <si>
    <t>Mid-west</t>
  </si>
  <si>
    <t>Brazil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</si>
  <si>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</si>
  <si>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</si>
  <si>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</si>
  <si>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</si>
  <si>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</si>
  <si>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</si>
  <si>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</si>
  <si>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</si>
  <si>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</si>
  <si>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</si>
  <si>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</si>
  <si>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</si>
  <si>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</si>
  <si>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</si>
  <si>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</si>
  <si>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</si>
  <si>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</si>
  <si>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</si>
  <si>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</si>
  <si>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</si>
  <si>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</si>
  <si>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</si>
  <si>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</si>
  <si>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</si>
  <si>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</si>
  <si>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</si>
  <si>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</si>
  <si>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Ocorrência_y2015</t>
  </si>
  <si>
    <t>2015_Incidencia</t>
  </si>
  <si>
    <t>2015_Letalidade</t>
  </si>
  <si>
    <t>2016_Incidencia</t>
  </si>
  <si>
    <t>2016_Letalidade</t>
  </si>
  <si>
    <t>2017_Incidencia</t>
  </si>
  <si>
    <t>2017_Letalidade</t>
  </si>
  <si>
    <t>2018_Incidencia</t>
  </si>
  <si>
    <t>2018_Letalidade</t>
  </si>
  <si>
    <t>2019_Incidencia</t>
  </si>
  <si>
    <t>2019_Letalidade</t>
  </si>
  <si>
    <t>2020_Incidencia</t>
  </si>
  <si>
    <t>2020_Letalidade</t>
  </si>
  <si>
    <t>2021_Incidencia</t>
  </si>
  <si>
    <t>2021_Letalidade</t>
  </si>
  <si>
    <t>2022_Incidencia</t>
  </si>
  <si>
    <t>2022_Letalidade</t>
  </si>
  <si>
    <t>2023_Incidencia</t>
  </si>
  <si>
    <t>2023_Letalidade</t>
  </si>
  <si>
    <t>2024_Incidencia</t>
  </si>
  <si>
    <t>2024_Letalidade</t>
  </si>
  <si>
    <t>Coef. Incidencia (x100milhabitantes)_2015-2024</t>
  </si>
  <si>
    <t>Taxa de Letalidade (%)_2015-2024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</si>
</sst>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544-EDBE-4D32-8226-1EDAD4D9ABC5}">
  <dimension ref="A1:AQ30"/>
  <sheetViews>
    <sheetView tabSelected="1" zoomScale="130" zoomScaleNormal="130" workbookViewId="0">
      <selection activeCell="D2" sqref="D2:D15"/>
    </sheetView>
  </sheetViews>
  <sheetFormatPr defaultRowHeight="14.4" x14ac:dyDescent="0.3"/>
  <cols>
    <col min="1" max="1" width="8.88671875" style="1"/>
    <col min="2" max="2" width="18.33203125" style="1" customWidth="1"/>
    <col min="3" max="3" width="7.33203125" style="1" customWidth="1"/>
    <col min="4" max="14" width="8.88671875" style="2" customWidth="1"/>
    <col min="15" max="15" width="12.21875" style="2" customWidth="1"/>
    <col min="16" max="20" width="8.88671875" style="2" customWidth="1"/>
    <col min="21" max="21" width="9.77734375" style="2" customWidth="1"/>
    <col min="22" max="41" width="13.44140625" style="2" customWidth="1"/>
    <col min="42" max="42" width="12.5546875" style="1" customWidth="1"/>
    <col min="43" max="43" width="12.44140625" style="1" customWidth="1"/>
  </cols>
  <sheetData>
    <row r="1" spans="1:43" s="1" customFormat="1" ht="36" x14ac:dyDescent="0.25">
      <c r="A1" s="1" t="s">
        <v>47</v>
      </c>
      <c r="B1" s="1" t="s">
        <v>46</v>
      </c>
      <c r="C1" s="1" t="s">
        <v>42</v>
      </c>
      <c r="D1" s="6" t="s">
        <v>81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44</v>
      </c>
      <c r="O1" s="6" t="s">
        <v>45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  <c r="AG1" s="2" t="s">
        <v>93</v>
      </c>
      <c r="AH1" s="2" t="s">
        <v>94</v>
      </c>
      <c r="AI1" s="2" t="s">
        <v>95</v>
      </c>
      <c r="AJ1" s="2" t="s">
        <v>96</v>
      </c>
      <c r="AK1" s="2" t="s">
        <v>97</v>
      </c>
      <c r="AL1" s="2" t="s">
        <v>98</v>
      </c>
      <c r="AM1" s="2" t="s">
        <v>99</v>
      </c>
      <c r="AN1" s="2" t="s">
        <v>100</v>
      </c>
      <c r="AO1" s="2" t="s">
        <v>101</v>
      </c>
      <c r="AP1" s="4" t="s">
        <v>102</v>
      </c>
      <c r="AQ1" s="5" t="s">
        <v>103</v>
      </c>
    </row>
    <row r="2" spans="1:43" x14ac:dyDescent="0.3">
      <c r="A2" s="1" t="s">
        <v>48</v>
      </c>
      <c r="B2" s="1" t="s">
        <v>0</v>
      </c>
      <c r="C2" s="1" t="s">
        <v>54</v>
      </c>
      <c r="D2" s="2">
        <v>1046</v>
      </c>
      <c r="E2" s="2">
        <v>908</v>
      </c>
      <c r="F2" s="2">
        <v>1258</v>
      </c>
      <c r="G2" s="2">
        <v>1419</v>
      </c>
      <c r="H2" s="2">
        <v>1585</v>
      </c>
      <c r="I2" s="2">
        <v>1481</v>
      </c>
      <c r="J2" s="2">
        <v>1312</v>
      </c>
      <c r="K2" s="2">
        <v>1163</v>
      </c>
      <c r="L2" s="2">
        <v>1570</v>
      </c>
      <c r="M2" s="2">
        <v>1636</v>
      </c>
      <c r="N2" s="2">
        <f>SUM(D2:M2)</f>
        <v>13378</v>
      </c>
      <c r="O2" s="2">
        <v>1064</v>
      </c>
      <c r="P2" s="2">
        <v>4766</v>
      </c>
      <c r="Q2" s="2">
        <v>3694</v>
      </c>
      <c r="R2" s="2">
        <v>1718</v>
      </c>
      <c r="S2" s="2">
        <v>720</v>
      </c>
      <c r="T2" s="2">
        <v>523</v>
      </c>
      <c r="U2" s="2">
        <v>893</v>
      </c>
      <c r="V2" s="2">
        <v>25.62</v>
      </c>
      <c r="W2" s="2">
        <v>0.23</v>
      </c>
      <c r="X2" s="2">
        <v>25.12</v>
      </c>
      <c r="Y2" s="2">
        <v>0.47</v>
      </c>
      <c r="Z2" s="2">
        <v>24.06</v>
      </c>
      <c r="AA2" s="2">
        <v>0</v>
      </c>
      <c r="AB2" s="2">
        <v>30.61</v>
      </c>
      <c r="AC2" s="2">
        <v>0.38</v>
      </c>
      <c r="AD2" s="2">
        <v>32.06</v>
      </c>
      <c r="AE2" s="2">
        <v>0.91</v>
      </c>
      <c r="AF2" s="2">
        <v>29.89</v>
      </c>
      <c r="AG2" s="2">
        <v>0.19</v>
      </c>
      <c r="AH2" s="2">
        <v>27.29</v>
      </c>
      <c r="AI2" s="2">
        <v>0.21</v>
      </c>
      <c r="AJ2" s="2">
        <v>24.33</v>
      </c>
      <c r="AK2" s="2">
        <v>0.24</v>
      </c>
      <c r="AL2" s="2">
        <v>26.84</v>
      </c>
      <c r="AM2" s="2">
        <v>0.21</v>
      </c>
      <c r="AN2" s="2">
        <v>24.97</v>
      </c>
      <c r="AO2" s="2">
        <v>0.23</v>
      </c>
      <c r="AP2" s="3">
        <v>27.079000000000001</v>
      </c>
      <c r="AQ2" s="3">
        <v>0.307</v>
      </c>
    </row>
    <row r="3" spans="1:43" x14ac:dyDescent="0.3">
      <c r="A3" s="1" t="s">
        <v>48</v>
      </c>
      <c r="B3" s="1" t="s">
        <v>1</v>
      </c>
      <c r="C3" s="1" t="s">
        <v>55</v>
      </c>
      <c r="D3" s="2">
        <v>1082</v>
      </c>
      <c r="E3" s="2">
        <v>962</v>
      </c>
      <c r="F3" s="2">
        <v>1014</v>
      </c>
      <c r="G3" s="2">
        <v>913</v>
      </c>
      <c r="H3" s="2">
        <v>1100</v>
      </c>
      <c r="I3" s="2">
        <v>840</v>
      </c>
      <c r="J3" s="2">
        <v>996</v>
      </c>
      <c r="K3" s="2">
        <v>1061</v>
      </c>
      <c r="L3" s="2">
        <v>1125</v>
      </c>
      <c r="M3" s="2">
        <v>1305</v>
      </c>
      <c r="N3" s="2">
        <f t="shared" ref="N3:N28" si="0">SUM(D3:M3)</f>
        <v>10398</v>
      </c>
      <c r="O3" s="2">
        <v>900</v>
      </c>
      <c r="P3" s="2">
        <v>3234</v>
      </c>
      <c r="Q3" s="2">
        <v>2603</v>
      </c>
      <c r="R3" s="2">
        <v>1506</v>
      </c>
      <c r="S3" s="2">
        <v>591</v>
      </c>
      <c r="T3" s="2">
        <v>530</v>
      </c>
      <c r="U3" s="2">
        <v>1034</v>
      </c>
      <c r="V3" s="2">
        <v>52.14</v>
      </c>
      <c r="W3" s="2">
        <v>0.23</v>
      </c>
      <c r="X3" s="2">
        <v>47.95</v>
      </c>
      <c r="Y3" s="2">
        <v>0.25</v>
      </c>
      <c r="Z3" s="2">
        <v>44.76</v>
      </c>
      <c r="AA3" s="2">
        <v>0</v>
      </c>
      <c r="AB3" s="2">
        <v>44.39</v>
      </c>
      <c r="AC3" s="2">
        <v>0.53</v>
      </c>
      <c r="AD3" s="2">
        <v>50.47</v>
      </c>
      <c r="AE3" s="2">
        <v>0</v>
      </c>
      <c r="AF3" s="2">
        <v>45.27</v>
      </c>
      <c r="AG3" s="2">
        <v>0</v>
      </c>
      <c r="AH3" s="2">
        <v>45.49</v>
      </c>
      <c r="AI3" s="2">
        <v>0</v>
      </c>
      <c r="AJ3" s="2">
        <v>49.05</v>
      </c>
      <c r="AK3" s="2">
        <v>0.47</v>
      </c>
      <c r="AL3" s="2">
        <v>44.72</v>
      </c>
      <c r="AM3" s="2">
        <v>0.26</v>
      </c>
      <c r="AN3" s="2">
        <v>41.22</v>
      </c>
      <c r="AO3" s="2">
        <v>0.55000000000000004</v>
      </c>
      <c r="AP3" s="3">
        <v>46.546000000000006</v>
      </c>
      <c r="AQ3" s="3">
        <v>0.22900000000000001</v>
      </c>
    </row>
    <row r="4" spans="1:43" x14ac:dyDescent="0.3">
      <c r="A4" s="1" t="s">
        <v>48</v>
      </c>
      <c r="B4" s="1" t="s">
        <v>2</v>
      </c>
      <c r="C4" s="1" t="s">
        <v>56</v>
      </c>
      <c r="D4" s="2">
        <v>2267</v>
      </c>
      <c r="E4" s="2">
        <v>2195</v>
      </c>
      <c r="F4" s="2">
        <v>2517</v>
      </c>
      <c r="G4" s="2">
        <v>2941</v>
      </c>
      <c r="H4" s="2">
        <v>3329</v>
      </c>
      <c r="I4" s="2">
        <v>3004</v>
      </c>
      <c r="J4" s="2">
        <v>3328</v>
      </c>
      <c r="K4" s="2">
        <v>3249</v>
      </c>
      <c r="L4" s="2">
        <v>3165</v>
      </c>
      <c r="M4" s="2">
        <v>3205</v>
      </c>
      <c r="N4" s="2">
        <f t="shared" si="0"/>
        <v>29200</v>
      </c>
      <c r="O4" s="2">
        <v>786</v>
      </c>
      <c r="P4" s="2">
        <v>7931</v>
      </c>
      <c r="Q4" s="2">
        <v>8338</v>
      </c>
      <c r="R4" s="2">
        <v>5640</v>
      </c>
      <c r="S4" s="2">
        <v>2705</v>
      </c>
      <c r="T4" s="2">
        <v>1754</v>
      </c>
      <c r="U4" s="2">
        <v>2046</v>
      </c>
      <c r="V4" s="2">
        <v>35.6</v>
      </c>
      <c r="W4" s="2">
        <v>0.87</v>
      </c>
      <c r="X4" s="2">
        <v>34.9</v>
      </c>
      <c r="Y4" s="2">
        <v>1.02</v>
      </c>
      <c r="Z4" s="2">
        <v>38.450000000000003</v>
      </c>
      <c r="AA4" s="2">
        <v>0.52</v>
      </c>
      <c r="AB4" s="2">
        <v>44.17</v>
      </c>
      <c r="AC4" s="2">
        <v>0.62</v>
      </c>
      <c r="AD4" s="2">
        <v>52.44</v>
      </c>
      <c r="AE4" s="2">
        <v>0.8</v>
      </c>
      <c r="AF4" s="2">
        <v>49.16</v>
      </c>
      <c r="AG4" s="2">
        <v>0.69</v>
      </c>
      <c r="AH4" s="2">
        <v>51.01</v>
      </c>
      <c r="AI4" s="2">
        <v>0.8</v>
      </c>
      <c r="AJ4" s="2">
        <v>45.12</v>
      </c>
      <c r="AK4" s="2">
        <v>0.57999999999999996</v>
      </c>
      <c r="AL4" s="2">
        <v>40.14</v>
      </c>
      <c r="AM4" s="2">
        <v>0.82</v>
      </c>
      <c r="AN4" s="2">
        <v>40.57</v>
      </c>
      <c r="AO4" s="2">
        <v>0.46</v>
      </c>
      <c r="AP4" s="3">
        <v>43.155999999999999</v>
      </c>
      <c r="AQ4" s="3">
        <v>0.71799999999999997</v>
      </c>
    </row>
    <row r="5" spans="1:43" x14ac:dyDescent="0.3">
      <c r="A5" s="1" t="s">
        <v>48</v>
      </c>
      <c r="B5" s="1" t="s">
        <v>3</v>
      </c>
      <c r="C5" s="1" t="s">
        <v>57</v>
      </c>
      <c r="D5" s="2">
        <v>572</v>
      </c>
      <c r="E5" s="2">
        <v>621</v>
      </c>
      <c r="F5" s="2">
        <v>913</v>
      </c>
      <c r="G5" s="2">
        <v>1118</v>
      </c>
      <c r="H5" s="2">
        <v>1299</v>
      </c>
      <c r="I5" s="2">
        <v>936</v>
      </c>
      <c r="J5" s="2">
        <v>932</v>
      </c>
      <c r="K5" s="2">
        <v>1140</v>
      </c>
      <c r="L5" s="2">
        <v>1255</v>
      </c>
      <c r="M5" s="2">
        <v>1185</v>
      </c>
      <c r="N5" s="2">
        <f t="shared" si="0"/>
        <v>9971</v>
      </c>
      <c r="O5" s="2">
        <v>2125</v>
      </c>
      <c r="P5" s="2">
        <v>2677</v>
      </c>
      <c r="Q5" s="2">
        <v>1921</v>
      </c>
      <c r="R5" s="2">
        <v>1001</v>
      </c>
      <c r="S5" s="2">
        <v>574</v>
      </c>
      <c r="T5" s="2">
        <v>766</v>
      </c>
      <c r="U5" s="2">
        <v>907</v>
      </c>
      <c r="V5" s="2">
        <v>56.51</v>
      </c>
      <c r="W5" s="2">
        <v>0.33</v>
      </c>
      <c r="X5" s="2">
        <v>55.45</v>
      </c>
      <c r="Y5" s="2">
        <v>1.32</v>
      </c>
      <c r="Z5" s="2">
        <v>75.709999999999994</v>
      </c>
      <c r="AA5" s="2">
        <v>0.7</v>
      </c>
      <c r="AB5" s="2">
        <v>86.98</v>
      </c>
      <c r="AC5" s="2">
        <v>0.2</v>
      </c>
      <c r="AD5" s="2">
        <v>69.89</v>
      </c>
      <c r="AE5" s="2">
        <v>0.23</v>
      </c>
      <c r="AF5" s="2">
        <v>55.54</v>
      </c>
      <c r="AG5" s="2">
        <v>0.56000000000000005</v>
      </c>
      <c r="AH5" s="2">
        <v>63.82</v>
      </c>
      <c r="AI5" s="2">
        <v>0.72</v>
      </c>
      <c r="AJ5" s="2">
        <v>79.150000000000006</v>
      </c>
      <c r="AK5" s="2">
        <v>0.75</v>
      </c>
      <c r="AL5" s="2">
        <v>69.760000000000005</v>
      </c>
      <c r="AM5" s="2">
        <v>1.44</v>
      </c>
      <c r="AN5" s="2">
        <v>53.71</v>
      </c>
      <c r="AO5" s="2">
        <v>0.52</v>
      </c>
      <c r="AP5" s="3">
        <v>66.652000000000015</v>
      </c>
      <c r="AQ5" s="3">
        <v>0.67699999999999994</v>
      </c>
    </row>
    <row r="6" spans="1:43" x14ac:dyDescent="0.3">
      <c r="A6" s="1" t="s">
        <v>48</v>
      </c>
      <c r="B6" s="1" t="s">
        <v>4</v>
      </c>
      <c r="C6" s="1" t="s">
        <v>58</v>
      </c>
      <c r="D6" s="2">
        <v>7727</v>
      </c>
      <c r="E6" s="2">
        <v>7378</v>
      </c>
      <c r="F6" s="2">
        <v>7622</v>
      </c>
      <c r="G6" s="2">
        <v>7508</v>
      </c>
      <c r="H6" s="2">
        <v>8889</v>
      </c>
      <c r="I6" s="2">
        <v>8261</v>
      </c>
      <c r="J6" s="2">
        <v>9490</v>
      </c>
      <c r="K6" s="2">
        <v>11079</v>
      </c>
      <c r="L6" s="2">
        <v>11402</v>
      </c>
      <c r="M6" s="2">
        <v>11077</v>
      </c>
      <c r="N6" s="2">
        <f t="shared" si="0"/>
        <v>90433</v>
      </c>
      <c r="O6" s="2">
        <v>4626</v>
      </c>
      <c r="P6" s="2">
        <v>25551</v>
      </c>
      <c r="Q6" s="2">
        <v>28779</v>
      </c>
      <c r="R6" s="2">
        <v>16680</v>
      </c>
      <c r="S6" s="2">
        <v>7350</v>
      </c>
      <c r="T6" s="2">
        <v>3707</v>
      </c>
      <c r="U6" s="2">
        <v>3740</v>
      </c>
      <c r="V6" s="2">
        <v>58.56</v>
      </c>
      <c r="W6" s="2">
        <v>0.15</v>
      </c>
      <c r="X6" s="2">
        <v>56.03</v>
      </c>
      <c r="Y6" s="2">
        <v>0.28000000000000003</v>
      </c>
      <c r="Z6" s="2">
        <v>56.92</v>
      </c>
      <c r="AA6" s="2">
        <v>0.3</v>
      </c>
      <c r="AB6" s="2">
        <v>56.11</v>
      </c>
      <c r="AC6" s="2">
        <v>0.19</v>
      </c>
      <c r="AD6" s="2">
        <v>62.74</v>
      </c>
      <c r="AE6" s="2">
        <v>0.49</v>
      </c>
      <c r="AF6" s="2">
        <v>59.95</v>
      </c>
      <c r="AG6" s="2">
        <v>0.51</v>
      </c>
      <c r="AH6" s="2">
        <v>65.319999999999993</v>
      </c>
      <c r="AI6" s="2">
        <v>0.4</v>
      </c>
      <c r="AJ6" s="2">
        <v>63.57</v>
      </c>
      <c r="AK6" s="2">
        <v>0.26</v>
      </c>
      <c r="AL6" s="2">
        <v>58.14</v>
      </c>
      <c r="AM6" s="2">
        <v>0.34</v>
      </c>
      <c r="AN6" s="2">
        <v>55.1</v>
      </c>
      <c r="AO6" s="2">
        <v>0.27</v>
      </c>
      <c r="AP6" s="3">
        <v>59.244000000000007</v>
      </c>
      <c r="AQ6" s="3">
        <v>0.31900000000000001</v>
      </c>
    </row>
    <row r="7" spans="1:43" x14ac:dyDescent="0.3">
      <c r="A7" s="1" t="s">
        <v>48</v>
      </c>
      <c r="B7" s="1" t="s">
        <v>5</v>
      </c>
      <c r="C7" s="1" t="s">
        <v>59</v>
      </c>
      <c r="D7" s="2">
        <v>582</v>
      </c>
      <c r="E7" s="2">
        <v>558</v>
      </c>
      <c r="F7" s="2">
        <v>673</v>
      </c>
      <c r="G7" s="2">
        <v>771</v>
      </c>
      <c r="H7" s="2">
        <v>970</v>
      </c>
      <c r="I7" s="2">
        <v>851</v>
      </c>
      <c r="J7" s="2">
        <v>937</v>
      </c>
      <c r="K7" s="2">
        <v>999</v>
      </c>
      <c r="L7" s="2">
        <v>945</v>
      </c>
      <c r="M7" s="2">
        <v>1021</v>
      </c>
      <c r="N7" s="2">
        <f t="shared" si="0"/>
        <v>8307</v>
      </c>
      <c r="O7" s="2">
        <v>660</v>
      </c>
      <c r="P7" s="2">
        <v>2413</v>
      </c>
      <c r="Q7" s="2">
        <v>2207</v>
      </c>
      <c r="R7" s="2">
        <v>1494</v>
      </c>
      <c r="S7" s="2">
        <v>852</v>
      </c>
      <c r="T7" s="2">
        <v>329</v>
      </c>
      <c r="U7" s="2">
        <v>352</v>
      </c>
      <c r="V7" s="2">
        <v>44.31</v>
      </c>
      <c r="W7" s="2">
        <v>0.91</v>
      </c>
      <c r="X7" s="2">
        <v>42.28</v>
      </c>
      <c r="Y7" s="2">
        <v>0.63</v>
      </c>
      <c r="Z7" s="2">
        <v>52.77</v>
      </c>
      <c r="AA7" s="2">
        <v>0</v>
      </c>
      <c r="AB7" s="2">
        <v>56.81</v>
      </c>
      <c r="AC7" s="2">
        <v>0</v>
      </c>
      <c r="AD7" s="2">
        <v>69.02</v>
      </c>
      <c r="AE7" s="2">
        <v>0</v>
      </c>
      <c r="AF7" s="2">
        <v>50.16</v>
      </c>
      <c r="AG7" s="2">
        <v>0.25</v>
      </c>
      <c r="AH7" s="2">
        <v>57.91</v>
      </c>
      <c r="AI7" s="2">
        <v>0.87</v>
      </c>
      <c r="AJ7" s="2">
        <v>54.56</v>
      </c>
      <c r="AK7" s="2">
        <v>0.46</v>
      </c>
      <c r="AL7" s="2">
        <v>46.68</v>
      </c>
      <c r="AM7" s="2">
        <v>0.27</v>
      </c>
      <c r="AN7" s="2">
        <v>43.84</v>
      </c>
      <c r="AO7" s="2">
        <v>0</v>
      </c>
      <c r="AP7" s="3">
        <v>51.834000000000003</v>
      </c>
      <c r="AQ7" s="3">
        <v>0.33900000000000002</v>
      </c>
    </row>
    <row r="8" spans="1:43" x14ac:dyDescent="0.3">
      <c r="A8" s="1" t="s">
        <v>48</v>
      </c>
      <c r="B8" s="1" t="s">
        <v>6</v>
      </c>
      <c r="C8" s="1" t="s">
        <v>60</v>
      </c>
      <c r="D8" s="2">
        <v>2607</v>
      </c>
      <c r="E8" s="2">
        <v>2826</v>
      </c>
      <c r="F8" s="2">
        <v>3669</v>
      </c>
      <c r="G8" s="2">
        <v>4768</v>
      </c>
      <c r="H8" s="2">
        <v>5332</v>
      </c>
      <c r="I8" s="2">
        <v>4714</v>
      </c>
      <c r="J8" s="2">
        <v>4868</v>
      </c>
      <c r="K8" s="2">
        <v>4998</v>
      </c>
      <c r="L8" s="2">
        <v>5916</v>
      </c>
      <c r="M8" s="2">
        <v>5786</v>
      </c>
      <c r="N8" s="2">
        <f t="shared" si="0"/>
        <v>45484</v>
      </c>
      <c r="O8" s="2">
        <v>2835</v>
      </c>
      <c r="P8" s="2">
        <v>19479</v>
      </c>
      <c r="Q8" s="2">
        <v>11785</v>
      </c>
      <c r="R8" s="2">
        <v>4179</v>
      </c>
      <c r="S8" s="2">
        <v>1753</v>
      </c>
      <c r="T8" s="2">
        <v>1725</v>
      </c>
      <c r="U8" s="2">
        <v>3728</v>
      </c>
      <c r="V8" s="2">
        <v>49.14</v>
      </c>
      <c r="W8" s="2">
        <v>0.41</v>
      </c>
      <c r="X8" s="2">
        <v>50.02</v>
      </c>
      <c r="Y8" s="2">
        <v>0.27</v>
      </c>
      <c r="Z8" s="2">
        <v>40.24</v>
      </c>
      <c r="AA8" s="2">
        <v>0.17</v>
      </c>
      <c r="AB8" s="2">
        <v>46.5</v>
      </c>
      <c r="AC8" s="2">
        <v>0.28000000000000003</v>
      </c>
      <c r="AD8" s="2">
        <v>54.68</v>
      </c>
      <c r="AE8" s="2">
        <v>0.24</v>
      </c>
      <c r="AF8" s="2">
        <v>51.69</v>
      </c>
      <c r="AG8" s="2">
        <v>0.5</v>
      </c>
      <c r="AH8" s="2">
        <v>39.72</v>
      </c>
      <c r="AI8" s="2">
        <v>0.33</v>
      </c>
      <c r="AJ8" s="2">
        <v>36.020000000000003</v>
      </c>
      <c r="AK8" s="2">
        <v>0</v>
      </c>
      <c r="AL8" s="2">
        <v>39.43</v>
      </c>
      <c r="AM8" s="2">
        <v>0.49</v>
      </c>
      <c r="AN8" s="2">
        <v>34.74</v>
      </c>
      <c r="AO8" s="2">
        <v>0.55000000000000004</v>
      </c>
      <c r="AP8" s="3">
        <v>44.218000000000004</v>
      </c>
      <c r="AQ8" s="3">
        <v>0.32399999999999995</v>
      </c>
    </row>
    <row r="9" spans="1:43" x14ac:dyDescent="0.3">
      <c r="A9" s="1" t="s">
        <v>49</v>
      </c>
      <c r="B9" s="1" t="s">
        <v>7</v>
      </c>
      <c r="C9" s="1" t="s">
        <v>61</v>
      </c>
      <c r="D9" s="2">
        <v>2371</v>
      </c>
      <c r="E9" s="2">
        <v>2332</v>
      </c>
      <c r="F9" s="2">
        <v>3452</v>
      </c>
      <c r="G9" s="2">
        <v>4617</v>
      </c>
      <c r="H9" s="2">
        <v>5424</v>
      </c>
      <c r="I9" s="2">
        <v>4735</v>
      </c>
      <c r="J9" s="2">
        <v>5474</v>
      </c>
      <c r="K9" s="2">
        <v>5653</v>
      </c>
      <c r="L9" s="2">
        <v>5539</v>
      </c>
      <c r="M9" s="2">
        <v>5466</v>
      </c>
      <c r="N9" s="2">
        <f t="shared" si="0"/>
        <v>45063</v>
      </c>
      <c r="O9" s="2">
        <v>3113</v>
      </c>
      <c r="P9" s="2">
        <v>14235</v>
      </c>
      <c r="Q9" s="2">
        <v>15252</v>
      </c>
      <c r="R9" s="2">
        <v>6355</v>
      </c>
      <c r="S9" s="2">
        <v>2289</v>
      </c>
      <c r="T9" s="2">
        <v>1731</v>
      </c>
      <c r="U9" s="2">
        <v>2088</v>
      </c>
      <c r="V9" s="2">
        <v>20.45</v>
      </c>
      <c r="W9" s="2">
        <v>1</v>
      </c>
      <c r="X9" s="2">
        <v>16.260000000000002</v>
      </c>
      <c r="Y9" s="2">
        <v>0.63</v>
      </c>
      <c r="Z9" s="2">
        <v>18</v>
      </c>
      <c r="AA9" s="2">
        <v>0.73</v>
      </c>
      <c r="AB9" s="2">
        <v>23.68</v>
      </c>
      <c r="AC9" s="2">
        <v>1.04</v>
      </c>
      <c r="AD9" s="2">
        <v>30.56</v>
      </c>
      <c r="AE9" s="2">
        <v>0.94</v>
      </c>
      <c r="AF9" s="2">
        <v>30.21</v>
      </c>
      <c r="AG9" s="2">
        <v>0.66</v>
      </c>
      <c r="AH9" s="2">
        <v>30.34</v>
      </c>
      <c r="AI9" s="2">
        <v>0.99</v>
      </c>
      <c r="AJ9" s="2">
        <v>28.19</v>
      </c>
      <c r="AK9" s="2">
        <v>0.3</v>
      </c>
      <c r="AL9" s="2">
        <v>27.44</v>
      </c>
      <c r="AM9" s="2">
        <v>0.26</v>
      </c>
      <c r="AN9" s="2">
        <v>23.51</v>
      </c>
      <c r="AO9" s="2">
        <v>0.49</v>
      </c>
      <c r="AP9" s="3">
        <v>24.863999999999997</v>
      </c>
      <c r="AQ9" s="3">
        <v>0.70399999999999996</v>
      </c>
    </row>
    <row r="10" spans="1:43" x14ac:dyDescent="0.3">
      <c r="A10" s="1" t="s">
        <v>49</v>
      </c>
      <c r="B10" s="1" t="s">
        <v>8</v>
      </c>
      <c r="C10" s="1" t="s">
        <v>62</v>
      </c>
      <c r="D10" s="2">
        <v>2129</v>
      </c>
      <c r="E10" s="2">
        <v>2820</v>
      </c>
      <c r="F10" s="2">
        <v>3828</v>
      </c>
      <c r="G10" s="2">
        <v>4590</v>
      </c>
      <c r="H10" s="2">
        <v>4567</v>
      </c>
      <c r="I10" s="2">
        <v>3479</v>
      </c>
      <c r="J10" s="2">
        <v>4842</v>
      </c>
      <c r="K10" s="2">
        <v>6294</v>
      </c>
      <c r="L10" s="2">
        <v>7082</v>
      </c>
      <c r="M10" s="2">
        <v>8078</v>
      </c>
      <c r="N10" s="2">
        <f t="shared" si="0"/>
        <v>47709</v>
      </c>
      <c r="O10" s="2">
        <v>7535</v>
      </c>
      <c r="P10" s="2">
        <v>15380</v>
      </c>
      <c r="Q10" s="2">
        <v>13585</v>
      </c>
      <c r="R10" s="2">
        <v>4584</v>
      </c>
      <c r="S10" s="2">
        <v>1962</v>
      </c>
      <c r="T10" s="2">
        <v>1858</v>
      </c>
      <c r="U10" s="2">
        <v>2805</v>
      </c>
      <c r="V10" s="2">
        <v>4.1500000000000004</v>
      </c>
      <c r="W10" s="2">
        <v>1.48</v>
      </c>
      <c r="X10" s="2">
        <v>5.07</v>
      </c>
      <c r="Y10" s="2">
        <v>0</v>
      </c>
      <c r="Z10" s="2">
        <v>5.27</v>
      </c>
      <c r="AA10" s="2">
        <v>1.1599999999999999</v>
      </c>
      <c r="AB10" s="2">
        <v>6.03</v>
      </c>
      <c r="AC10" s="2">
        <v>1.01</v>
      </c>
      <c r="AD10" s="2">
        <v>7.89</v>
      </c>
      <c r="AE10" s="2">
        <v>0.76</v>
      </c>
      <c r="AF10" s="2">
        <v>8.66</v>
      </c>
      <c r="AG10" s="2">
        <v>0</v>
      </c>
      <c r="AH10" s="2">
        <v>9.56</v>
      </c>
      <c r="AI10" s="2">
        <v>0.94</v>
      </c>
      <c r="AJ10" s="2">
        <v>7.98</v>
      </c>
      <c r="AK10" s="2">
        <v>1.1200000000000001</v>
      </c>
      <c r="AL10" s="2">
        <v>9.6300000000000008</v>
      </c>
      <c r="AM10" s="2">
        <v>0</v>
      </c>
      <c r="AN10" s="2">
        <v>9.7200000000000006</v>
      </c>
      <c r="AO10" s="2">
        <v>0.91</v>
      </c>
      <c r="AP10" s="3">
        <v>7.395999999999999</v>
      </c>
      <c r="AQ10" s="3">
        <v>0.73799999999999999</v>
      </c>
    </row>
    <row r="11" spans="1:43" x14ac:dyDescent="0.3">
      <c r="A11" s="1" t="s">
        <v>49</v>
      </c>
      <c r="B11" s="1" t="s">
        <v>9</v>
      </c>
      <c r="C11" s="1" t="s">
        <v>63</v>
      </c>
      <c r="D11" s="2">
        <v>3946</v>
      </c>
      <c r="E11" s="2">
        <v>5235</v>
      </c>
      <c r="F11" s="2">
        <v>6088</v>
      </c>
      <c r="G11" s="2">
        <v>8087</v>
      </c>
      <c r="H11" s="2">
        <v>11266</v>
      </c>
      <c r="I11" s="2">
        <v>8375</v>
      </c>
      <c r="J11" s="2">
        <v>8027</v>
      </c>
      <c r="K11" s="2">
        <v>9847</v>
      </c>
      <c r="L11" s="2">
        <v>12275</v>
      </c>
      <c r="M11" s="2">
        <v>11782</v>
      </c>
      <c r="N11" s="2">
        <f t="shared" si="0"/>
        <v>84928</v>
      </c>
      <c r="O11" s="2">
        <v>4768</v>
      </c>
      <c r="P11" s="2">
        <v>33782</v>
      </c>
      <c r="Q11" s="2">
        <v>24086</v>
      </c>
      <c r="R11" s="2">
        <v>9148</v>
      </c>
      <c r="S11" s="2">
        <v>5150</v>
      </c>
      <c r="T11" s="2">
        <v>4211</v>
      </c>
      <c r="U11" s="2">
        <v>3783</v>
      </c>
      <c r="V11" s="2">
        <v>5.42</v>
      </c>
      <c r="W11" s="2">
        <v>1.05</v>
      </c>
      <c r="X11" s="2">
        <v>7.36</v>
      </c>
      <c r="Y11" s="2">
        <v>0.77</v>
      </c>
      <c r="Z11" s="2">
        <v>7.42</v>
      </c>
      <c r="AA11" s="2">
        <v>0.76</v>
      </c>
      <c r="AB11" s="2">
        <v>6.92</v>
      </c>
      <c r="AC11" s="2">
        <v>0.16</v>
      </c>
      <c r="AD11" s="2">
        <v>9.5</v>
      </c>
      <c r="AE11" s="2">
        <v>0.7</v>
      </c>
      <c r="AF11" s="2">
        <v>8.2799999999999994</v>
      </c>
      <c r="AG11" s="2">
        <v>0.93</v>
      </c>
      <c r="AH11" s="2">
        <v>8.17</v>
      </c>
      <c r="AI11" s="2">
        <v>0.54</v>
      </c>
      <c r="AJ11" s="2">
        <v>6.73</v>
      </c>
      <c r="AK11" s="2">
        <v>0.16</v>
      </c>
      <c r="AL11" s="2">
        <v>9.1</v>
      </c>
      <c r="AM11" s="2">
        <v>0.36</v>
      </c>
      <c r="AN11" s="2">
        <v>7.53</v>
      </c>
      <c r="AO11" s="2">
        <v>0.43</v>
      </c>
      <c r="AP11" s="3">
        <v>7.6430000000000007</v>
      </c>
      <c r="AQ11" s="3">
        <v>0.58600000000000008</v>
      </c>
    </row>
    <row r="12" spans="1:43" x14ac:dyDescent="0.3">
      <c r="A12" s="1" t="s">
        <v>49</v>
      </c>
      <c r="B12" s="1" t="s">
        <v>10</v>
      </c>
      <c r="C12" s="1" t="s">
        <v>64</v>
      </c>
      <c r="D12" s="2">
        <v>5650</v>
      </c>
      <c r="E12" s="2">
        <v>5433</v>
      </c>
      <c r="F12" s="2">
        <v>6519</v>
      </c>
      <c r="G12" s="2">
        <v>7091</v>
      </c>
      <c r="H12" s="2">
        <v>9135</v>
      </c>
      <c r="I12" s="2">
        <v>6323</v>
      </c>
      <c r="J12" s="2">
        <v>5771</v>
      </c>
      <c r="K12" s="2">
        <v>7569</v>
      </c>
      <c r="L12" s="2">
        <v>8551</v>
      </c>
      <c r="M12" s="2">
        <v>8896</v>
      </c>
      <c r="N12" s="2">
        <f t="shared" si="0"/>
        <v>70938</v>
      </c>
      <c r="O12" s="2">
        <v>16468</v>
      </c>
      <c r="P12" s="2">
        <v>27111</v>
      </c>
      <c r="Q12" s="2">
        <v>14193</v>
      </c>
      <c r="R12" s="2">
        <v>4790</v>
      </c>
      <c r="S12" s="2">
        <v>2369</v>
      </c>
      <c r="T12" s="2">
        <v>2438</v>
      </c>
      <c r="U12" s="2">
        <v>3569</v>
      </c>
      <c r="V12" s="2">
        <v>6.29</v>
      </c>
      <c r="W12" s="2">
        <v>0.48</v>
      </c>
      <c r="X12" s="2">
        <v>8.92</v>
      </c>
      <c r="Y12" s="2">
        <v>0.34</v>
      </c>
      <c r="Z12" s="2">
        <v>9.94</v>
      </c>
      <c r="AA12" s="2">
        <v>0.3</v>
      </c>
      <c r="AB12" s="2">
        <v>9.33</v>
      </c>
      <c r="AC12" s="2">
        <v>0</v>
      </c>
      <c r="AD12" s="2">
        <v>14.8</v>
      </c>
      <c r="AE12" s="2">
        <v>0.8</v>
      </c>
      <c r="AF12" s="2">
        <v>15.61</v>
      </c>
      <c r="AG12" s="2">
        <v>0.75</v>
      </c>
      <c r="AH12" s="2">
        <v>13.16</v>
      </c>
      <c r="AI12" s="2">
        <v>1.1100000000000001</v>
      </c>
      <c r="AJ12" s="2">
        <v>7.82</v>
      </c>
      <c r="AK12" s="2">
        <v>0</v>
      </c>
      <c r="AL12" s="2">
        <v>10.53</v>
      </c>
      <c r="AM12" s="2">
        <v>0</v>
      </c>
      <c r="AN12" s="2">
        <v>11.93</v>
      </c>
      <c r="AO12" s="2">
        <v>0.24</v>
      </c>
      <c r="AP12" s="3">
        <v>10.833000000000002</v>
      </c>
      <c r="AQ12" s="3">
        <v>0.40200000000000002</v>
      </c>
    </row>
    <row r="13" spans="1:43" x14ac:dyDescent="0.3">
      <c r="A13" s="1" t="s">
        <v>49</v>
      </c>
      <c r="B13" s="1" t="s">
        <v>11</v>
      </c>
      <c r="C13" s="1" t="s">
        <v>65</v>
      </c>
      <c r="D13" s="2">
        <v>3846</v>
      </c>
      <c r="E13" s="2">
        <v>2111</v>
      </c>
      <c r="F13" s="2">
        <v>5401</v>
      </c>
      <c r="G13" s="2">
        <v>6263</v>
      </c>
      <c r="H13" s="2">
        <v>8183</v>
      </c>
      <c r="I13" s="2">
        <v>7399</v>
      </c>
      <c r="J13" s="2">
        <v>7810</v>
      </c>
      <c r="K13" s="2">
        <v>8435</v>
      </c>
      <c r="L13" s="2">
        <v>10284</v>
      </c>
      <c r="M13" s="2">
        <v>10996</v>
      </c>
      <c r="N13" s="2">
        <f t="shared" si="0"/>
        <v>70728</v>
      </c>
      <c r="O13" s="2">
        <v>8395</v>
      </c>
      <c r="P13" s="2">
        <v>32237</v>
      </c>
      <c r="Q13" s="2">
        <v>17043</v>
      </c>
      <c r="R13" s="2">
        <v>5159</v>
      </c>
      <c r="S13" s="2">
        <v>2739</v>
      </c>
      <c r="T13" s="2">
        <v>2437</v>
      </c>
      <c r="U13" s="2">
        <v>2718</v>
      </c>
      <c r="V13" s="2">
        <v>6.56</v>
      </c>
      <c r="W13" s="2">
        <v>0</v>
      </c>
      <c r="X13" s="2">
        <v>6.77</v>
      </c>
      <c r="Y13" s="2">
        <v>0.75</v>
      </c>
      <c r="Z13" s="2">
        <v>7.11</v>
      </c>
      <c r="AA13" s="2">
        <v>0.35</v>
      </c>
      <c r="AB13" s="2">
        <v>6.79</v>
      </c>
      <c r="AC13" s="2">
        <v>1.84</v>
      </c>
      <c r="AD13" s="2">
        <v>9.51</v>
      </c>
      <c r="AE13" s="2">
        <v>0.52</v>
      </c>
      <c r="AF13" s="2">
        <v>11.61</v>
      </c>
      <c r="AG13" s="2">
        <v>0.42</v>
      </c>
      <c r="AH13" s="2">
        <v>10.01</v>
      </c>
      <c r="AI13" s="2">
        <v>0.98</v>
      </c>
      <c r="AJ13" s="2">
        <v>9.01</v>
      </c>
      <c r="AK13" s="2">
        <v>0.81</v>
      </c>
      <c r="AL13" s="2">
        <v>8.8000000000000007</v>
      </c>
      <c r="AM13" s="2">
        <v>0.83</v>
      </c>
      <c r="AN13" s="2">
        <v>8.23</v>
      </c>
      <c r="AO13" s="2">
        <v>0.59</v>
      </c>
      <c r="AP13" s="3">
        <v>8.44</v>
      </c>
      <c r="AQ13" s="3">
        <v>0.70899999999999996</v>
      </c>
    </row>
    <row r="14" spans="1:43" x14ac:dyDescent="0.3">
      <c r="A14" s="1" t="s">
        <v>49</v>
      </c>
      <c r="B14" s="1" t="s">
        <v>12</v>
      </c>
      <c r="C14" s="1" t="s">
        <v>66</v>
      </c>
      <c r="D14" s="2">
        <v>11626</v>
      </c>
      <c r="E14" s="2">
        <v>13333</v>
      </c>
      <c r="F14" s="2">
        <v>18685</v>
      </c>
      <c r="G14" s="2">
        <v>23116</v>
      </c>
      <c r="H14" s="2">
        <v>22692</v>
      </c>
      <c r="I14" s="2">
        <v>16948</v>
      </c>
      <c r="J14" s="2">
        <v>20867</v>
      </c>
      <c r="K14" s="2">
        <v>23124</v>
      </c>
      <c r="L14" s="2">
        <v>25063</v>
      </c>
      <c r="M14" s="2">
        <v>25192</v>
      </c>
      <c r="N14" s="2">
        <f t="shared" si="0"/>
        <v>200646</v>
      </c>
      <c r="O14" s="2">
        <v>35439</v>
      </c>
      <c r="P14" s="2">
        <v>90009</v>
      </c>
      <c r="Q14" s="2">
        <v>43402</v>
      </c>
      <c r="R14" s="2">
        <v>12218</v>
      </c>
      <c r="S14" s="2">
        <v>5475</v>
      </c>
      <c r="T14" s="2">
        <v>5869</v>
      </c>
      <c r="U14" s="2">
        <v>8234</v>
      </c>
      <c r="V14" s="2">
        <v>4.21</v>
      </c>
      <c r="W14" s="2">
        <v>1.03</v>
      </c>
      <c r="X14" s="2">
        <v>5.47</v>
      </c>
      <c r="Y14" s="2">
        <v>1.38</v>
      </c>
      <c r="Z14" s="2">
        <v>4.3</v>
      </c>
      <c r="AA14" s="2">
        <v>0.25</v>
      </c>
      <c r="AB14" s="2">
        <v>4.6100000000000003</v>
      </c>
      <c r="AC14" s="2">
        <v>0.7</v>
      </c>
      <c r="AD14" s="2">
        <v>5.7</v>
      </c>
      <c r="AE14" s="2">
        <v>0.56000000000000005</v>
      </c>
      <c r="AF14" s="2">
        <v>5.55</v>
      </c>
      <c r="AG14" s="2">
        <v>0.56999999999999995</v>
      </c>
      <c r="AH14" s="2">
        <v>6.8</v>
      </c>
      <c r="AI14" s="2">
        <v>0</v>
      </c>
      <c r="AJ14" s="2">
        <v>6.34</v>
      </c>
      <c r="AK14" s="2">
        <v>0.66</v>
      </c>
      <c r="AL14" s="2">
        <v>5.91</v>
      </c>
      <c r="AM14" s="2">
        <v>0.71</v>
      </c>
      <c r="AN14" s="2">
        <v>5.78</v>
      </c>
      <c r="AO14" s="2">
        <v>0.73</v>
      </c>
      <c r="AP14" s="3">
        <v>5.4670000000000005</v>
      </c>
      <c r="AQ14" s="3">
        <v>0.65900000000000003</v>
      </c>
    </row>
    <row r="15" spans="1:43" x14ac:dyDescent="0.3">
      <c r="A15" s="1" t="s">
        <v>49</v>
      </c>
      <c r="B15" s="1" t="s">
        <v>13</v>
      </c>
      <c r="C15" s="1" t="s">
        <v>67</v>
      </c>
      <c r="D15" s="2">
        <v>7987</v>
      </c>
      <c r="E15" s="2">
        <v>8344</v>
      </c>
      <c r="F15" s="2">
        <v>10258</v>
      </c>
      <c r="G15" s="2">
        <v>11386</v>
      </c>
      <c r="H15" s="2">
        <v>12565</v>
      </c>
      <c r="I15" s="2">
        <v>11094</v>
      </c>
      <c r="J15" s="2">
        <v>13215</v>
      </c>
      <c r="K15" s="2">
        <v>13872</v>
      </c>
      <c r="L15" s="2">
        <v>14954</v>
      </c>
      <c r="M15" s="2">
        <v>16034</v>
      </c>
      <c r="N15" s="2">
        <f t="shared" si="0"/>
        <v>119709</v>
      </c>
      <c r="O15" s="2">
        <v>13868</v>
      </c>
      <c r="P15" s="2">
        <v>71889</v>
      </c>
      <c r="Q15" s="2">
        <v>20977</v>
      </c>
      <c r="R15" s="2">
        <v>5083</v>
      </c>
      <c r="S15" s="2">
        <v>2934</v>
      </c>
      <c r="T15" s="2">
        <v>2534</v>
      </c>
      <c r="U15" s="2">
        <v>2424</v>
      </c>
      <c r="V15" s="2">
        <v>5</v>
      </c>
      <c r="W15" s="2">
        <v>0</v>
      </c>
      <c r="X15" s="2">
        <v>4.99</v>
      </c>
      <c r="Y15" s="2">
        <v>0</v>
      </c>
      <c r="Z15" s="2">
        <v>5.39</v>
      </c>
      <c r="AA15" s="2">
        <v>0</v>
      </c>
      <c r="AB15" s="2">
        <v>4.37</v>
      </c>
      <c r="AC15" s="2">
        <v>0</v>
      </c>
      <c r="AD15" s="2">
        <v>5.58</v>
      </c>
      <c r="AE15" s="2">
        <v>0</v>
      </c>
      <c r="AF15" s="2">
        <v>5.29</v>
      </c>
      <c r="AG15" s="2">
        <v>0</v>
      </c>
      <c r="AH15" s="2">
        <v>6.65</v>
      </c>
      <c r="AI15" s="2">
        <v>0</v>
      </c>
      <c r="AJ15" s="2">
        <v>5.19</v>
      </c>
      <c r="AK15" s="2">
        <v>0</v>
      </c>
      <c r="AL15" s="2">
        <v>5.47</v>
      </c>
      <c r="AM15" s="2">
        <v>0</v>
      </c>
      <c r="AN15" s="2">
        <v>5.12</v>
      </c>
      <c r="AO15" s="2">
        <v>0</v>
      </c>
      <c r="AP15" s="3">
        <v>5.3049999999999988</v>
      </c>
      <c r="AQ15" s="3">
        <v>0</v>
      </c>
    </row>
    <row r="16" spans="1:43" x14ac:dyDescent="0.3">
      <c r="A16" s="1" t="s">
        <v>49</v>
      </c>
      <c r="B16" s="1" t="s">
        <v>14</v>
      </c>
      <c r="C16" s="1" t="s">
        <v>68</v>
      </c>
      <c r="D16" s="2">
        <v>1349</v>
      </c>
      <c r="E16" s="2">
        <v>1439</v>
      </c>
      <c r="F16" s="2">
        <v>2020</v>
      </c>
      <c r="G16" s="2">
        <v>2407</v>
      </c>
      <c r="H16" s="2">
        <v>2504</v>
      </c>
      <c r="I16" s="2">
        <v>2259</v>
      </c>
      <c r="J16" s="2">
        <v>2245</v>
      </c>
      <c r="K16" s="2">
        <v>3413</v>
      </c>
      <c r="L16" s="2">
        <v>4197</v>
      </c>
      <c r="M16" s="2">
        <v>4501</v>
      </c>
      <c r="N16" s="2">
        <f t="shared" si="0"/>
        <v>26334</v>
      </c>
      <c r="O16" s="2">
        <v>4637</v>
      </c>
      <c r="P16" s="2">
        <v>11516</v>
      </c>
      <c r="Q16" s="2">
        <v>5844</v>
      </c>
      <c r="R16" s="2">
        <v>1715</v>
      </c>
      <c r="S16" s="2">
        <v>855</v>
      </c>
      <c r="T16" s="2">
        <v>769</v>
      </c>
      <c r="U16" s="2">
        <v>998</v>
      </c>
      <c r="V16" s="2">
        <v>5.68</v>
      </c>
      <c r="W16" s="2">
        <v>0.81</v>
      </c>
      <c r="X16" s="2">
        <v>2.5</v>
      </c>
      <c r="Y16" s="2">
        <v>1.82</v>
      </c>
      <c r="Z16" s="2">
        <v>3.71</v>
      </c>
      <c r="AA16" s="2">
        <v>1.22</v>
      </c>
      <c r="AB16" s="2">
        <v>3.23</v>
      </c>
      <c r="AC16" s="2">
        <v>2.78</v>
      </c>
      <c r="AD16" s="2">
        <v>5.62</v>
      </c>
      <c r="AE16" s="2">
        <v>0.79</v>
      </c>
      <c r="AF16" s="2">
        <v>2.62</v>
      </c>
      <c r="AG16" s="2">
        <v>0</v>
      </c>
      <c r="AH16" s="2">
        <v>4.28</v>
      </c>
      <c r="AI16" s="2">
        <v>0</v>
      </c>
      <c r="AJ16" s="2">
        <v>4.2699999999999996</v>
      </c>
      <c r="AK16" s="2">
        <v>0</v>
      </c>
      <c r="AL16" s="2">
        <v>4.34</v>
      </c>
      <c r="AM16" s="2">
        <v>0</v>
      </c>
      <c r="AN16" s="2">
        <v>3.84</v>
      </c>
      <c r="AO16" s="2">
        <v>0</v>
      </c>
      <c r="AP16" s="3">
        <v>4.0090000000000003</v>
      </c>
      <c r="AQ16" s="3">
        <v>0.74199999999999988</v>
      </c>
    </row>
    <row r="17" spans="1:43" x14ac:dyDescent="0.3">
      <c r="A17" s="1" t="s">
        <v>49</v>
      </c>
      <c r="B17" s="1" t="s">
        <v>15</v>
      </c>
      <c r="C17" s="1" t="s">
        <v>69</v>
      </c>
      <c r="D17" s="2">
        <v>14997</v>
      </c>
      <c r="E17" s="2">
        <v>13873</v>
      </c>
      <c r="F17" s="2">
        <v>19588</v>
      </c>
      <c r="G17" s="2">
        <v>26314</v>
      </c>
      <c r="H17" s="2">
        <v>28610</v>
      </c>
      <c r="I17" s="2">
        <v>24715</v>
      </c>
      <c r="J17" s="2">
        <v>24275</v>
      </c>
      <c r="K17" s="2">
        <v>27897</v>
      </c>
      <c r="L17" s="2">
        <v>31742</v>
      </c>
      <c r="M17" s="2">
        <v>33737</v>
      </c>
      <c r="N17" s="2">
        <f t="shared" si="0"/>
        <v>245748</v>
      </c>
      <c r="O17" s="2">
        <v>26450</v>
      </c>
      <c r="P17" s="2">
        <v>118627</v>
      </c>
      <c r="Q17" s="2">
        <v>62036</v>
      </c>
      <c r="R17" s="2">
        <v>17331</v>
      </c>
      <c r="S17" s="2">
        <v>7527</v>
      </c>
      <c r="T17" s="2">
        <v>6494</v>
      </c>
      <c r="U17" s="2">
        <v>7283</v>
      </c>
      <c r="V17" s="2">
        <v>13.86</v>
      </c>
      <c r="W17" s="2">
        <v>0.6</v>
      </c>
      <c r="X17" s="2">
        <v>13.86</v>
      </c>
      <c r="Y17" s="2">
        <v>0.94</v>
      </c>
      <c r="Z17" s="2">
        <v>14.27</v>
      </c>
      <c r="AA17" s="2">
        <v>0.82</v>
      </c>
      <c r="AB17" s="2">
        <v>12.19</v>
      </c>
      <c r="AC17" s="2">
        <v>0.62</v>
      </c>
      <c r="AD17" s="2">
        <v>14.48</v>
      </c>
      <c r="AE17" s="2">
        <v>0.42</v>
      </c>
      <c r="AF17" s="2">
        <v>16.100000000000001</v>
      </c>
      <c r="AG17" s="2">
        <v>0.38</v>
      </c>
      <c r="AH17" s="2">
        <v>16.61</v>
      </c>
      <c r="AI17" s="2">
        <v>0.41</v>
      </c>
      <c r="AJ17" s="2">
        <v>15.97</v>
      </c>
      <c r="AK17" s="2">
        <v>0.21</v>
      </c>
      <c r="AL17" s="2">
        <v>16.43</v>
      </c>
      <c r="AM17" s="2">
        <v>0.56999999999999995</v>
      </c>
      <c r="AN17" s="2">
        <v>14.87</v>
      </c>
      <c r="AO17" s="2">
        <v>0.32</v>
      </c>
      <c r="AP17" s="3">
        <v>14.863999999999999</v>
      </c>
      <c r="AQ17" s="3">
        <v>0.52900000000000003</v>
      </c>
    </row>
    <row r="18" spans="1:43" x14ac:dyDescent="0.3">
      <c r="A18" s="1" t="s">
        <v>50</v>
      </c>
      <c r="B18" s="1" t="s">
        <v>16</v>
      </c>
      <c r="C18" s="1" t="s">
        <v>70</v>
      </c>
      <c r="D18" s="2">
        <v>30570</v>
      </c>
      <c r="E18" s="2">
        <v>32185</v>
      </c>
      <c r="F18" s="2">
        <v>41146</v>
      </c>
      <c r="G18" s="2">
        <v>51573</v>
      </c>
      <c r="H18" s="2">
        <v>52322</v>
      </c>
      <c r="I18" s="2">
        <v>49409</v>
      </c>
      <c r="J18" s="2">
        <v>47293</v>
      </c>
      <c r="K18" s="2">
        <v>51886</v>
      </c>
      <c r="L18" s="2">
        <v>58846</v>
      </c>
      <c r="M18" s="2">
        <v>55529</v>
      </c>
      <c r="N18" s="2">
        <f t="shared" si="0"/>
        <v>470759</v>
      </c>
      <c r="O18" s="2">
        <v>18031</v>
      </c>
      <c r="P18" s="2">
        <v>266941</v>
      </c>
      <c r="Q18" s="2">
        <v>118350</v>
      </c>
      <c r="R18" s="2">
        <v>31083</v>
      </c>
      <c r="S18" s="2">
        <v>11737</v>
      </c>
      <c r="T18" s="2">
        <v>10014</v>
      </c>
      <c r="U18" s="2">
        <v>14603</v>
      </c>
      <c r="V18" s="2">
        <v>11.55</v>
      </c>
      <c r="W18" s="2">
        <v>0.25</v>
      </c>
      <c r="X18" s="2">
        <v>10.72</v>
      </c>
      <c r="Y18" s="2">
        <v>0.41</v>
      </c>
      <c r="Z18" s="2">
        <v>14.41</v>
      </c>
      <c r="AA18" s="2">
        <v>0.17</v>
      </c>
      <c r="AB18" s="2">
        <v>14.52</v>
      </c>
      <c r="AC18" s="2">
        <v>0.2</v>
      </c>
      <c r="AD18" s="2">
        <v>14.84</v>
      </c>
      <c r="AE18" s="2">
        <v>0.55000000000000004</v>
      </c>
      <c r="AF18" s="2">
        <v>14.86</v>
      </c>
      <c r="AG18" s="2">
        <v>0.32</v>
      </c>
      <c r="AH18" s="2">
        <v>13.2</v>
      </c>
      <c r="AI18" s="2">
        <v>0.56999999999999995</v>
      </c>
      <c r="AJ18" s="2">
        <v>12.5</v>
      </c>
      <c r="AK18" s="2">
        <v>0.53</v>
      </c>
      <c r="AL18" s="2">
        <v>13.24</v>
      </c>
      <c r="AM18" s="2">
        <v>0.39</v>
      </c>
      <c r="AN18" s="2">
        <v>12.97</v>
      </c>
      <c r="AO18" s="2">
        <v>0.51</v>
      </c>
      <c r="AP18" s="3">
        <v>13.281000000000001</v>
      </c>
      <c r="AQ18" s="3">
        <v>0.39</v>
      </c>
    </row>
    <row r="19" spans="1:43" x14ac:dyDescent="0.3">
      <c r="A19" s="1" t="s">
        <v>50</v>
      </c>
      <c r="B19" s="1" t="s">
        <v>17</v>
      </c>
      <c r="C19" s="1" t="s">
        <v>71</v>
      </c>
      <c r="D19" s="2">
        <v>4246</v>
      </c>
      <c r="E19" s="2">
        <v>4342</v>
      </c>
      <c r="F19" s="2">
        <v>7016</v>
      </c>
      <c r="G19" s="2">
        <v>8235</v>
      </c>
      <c r="H19" s="2">
        <v>6125</v>
      </c>
      <c r="I19" s="2">
        <v>6362</v>
      </c>
      <c r="J19" s="2">
        <v>7455</v>
      </c>
      <c r="K19" s="2">
        <v>7476</v>
      </c>
      <c r="L19" s="2">
        <v>7897</v>
      </c>
      <c r="M19" s="2">
        <v>7903</v>
      </c>
      <c r="N19" s="2">
        <f t="shared" si="0"/>
        <v>67057</v>
      </c>
      <c r="O19" s="2">
        <v>3612</v>
      </c>
      <c r="P19" s="2">
        <v>35237</v>
      </c>
      <c r="Q19" s="2">
        <v>19201</v>
      </c>
      <c r="R19" s="2">
        <v>3987</v>
      </c>
      <c r="S19" s="2">
        <v>1716</v>
      </c>
      <c r="T19" s="2">
        <v>1451</v>
      </c>
      <c r="U19" s="2">
        <v>1853</v>
      </c>
      <c r="V19" s="2">
        <v>15.7</v>
      </c>
      <c r="W19" s="2">
        <v>0.33</v>
      </c>
      <c r="X19" s="2">
        <v>13.15</v>
      </c>
      <c r="Y19" s="2">
        <v>0.2</v>
      </c>
      <c r="Z19" s="2">
        <v>15.55</v>
      </c>
      <c r="AA19" s="2">
        <v>0</v>
      </c>
      <c r="AB19" s="2">
        <v>19.28</v>
      </c>
      <c r="AC19" s="2">
        <v>0.13</v>
      </c>
      <c r="AD19" s="2">
        <v>16.02</v>
      </c>
      <c r="AE19" s="2">
        <v>0</v>
      </c>
      <c r="AF19" s="2">
        <v>16.47</v>
      </c>
      <c r="AG19" s="2">
        <v>0</v>
      </c>
      <c r="AH19" s="2">
        <v>16.760000000000002</v>
      </c>
      <c r="AI19" s="2">
        <v>0</v>
      </c>
      <c r="AJ19" s="2">
        <v>14.19</v>
      </c>
      <c r="AK19" s="2">
        <v>0.17</v>
      </c>
      <c r="AL19" s="2">
        <v>13.59</v>
      </c>
      <c r="AM19" s="2">
        <v>0.36</v>
      </c>
      <c r="AN19" s="2">
        <v>16.45</v>
      </c>
      <c r="AO19" s="2">
        <v>0.3</v>
      </c>
      <c r="AP19" s="3">
        <v>15.715999999999999</v>
      </c>
      <c r="AQ19" s="3">
        <v>0.14899999999999999</v>
      </c>
    </row>
    <row r="20" spans="1:43" x14ac:dyDescent="0.3">
      <c r="A20" s="1" t="s">
        <v>50</v>
      </c>
      <c r="B20" s="1" t="s">
        <v>18</v>
      </c>
      <c r="C20" s="1" t="s">
        <v>72</v>
      </c>
      <c r="D20" s="2">
        <v>1371</v>
      </c>
      <c r="E20" s="2">
        <v>1621</v>
      </c>
      <c r="F20" s="2">
        <v>1873</v>
      </c>
      <c r="G20" s="2">
        <v>2334</v>
      </c>
      <c r="H20" s="2">
        <v>2636</v>
      </c>
      <c r="I20" s="2">
        <v>2247</v>
      </c>
      <c r="J20" s="2">
        <v>2235</v>
      </c>
      <c r="K20" s="2">
        <v>2680</v>
      </c>
      <c r="L20" s="2">
        <v>3599</v>
      </c>
      <c r="M20" s="2">
        <v>3694</v>
      </c>
      <c r="N20" s="2">
        <f t="shared" si="0"/>
        <v>24290</v>
      </c>
      <c r="O20" s="2">
        <v>4835</v>
      </c>
      <c r="P20" s="2">
        <v>7944</v>
      </c>
      <c r="Q20" s="2">
        <v>6305</v>
      </c>
      <c r="R20" s="2">
        <v>1784</v>
      </c>
      <c r="S20" s="2">
        <v>683</v>
      </c>
      <c r="T20" s="2">
        <v>832</v>
      </c>
      <c r="U20" s="2">
        <v>1907</v>
      </c>
      <c r="V20" s="2">
        <v>2.79</v>
      </c>
      <c r="W20" s="2">
        <v>0.42</v>
      </c>
      <c r="X20" s="2">
        <v>2.65</v>
      </c>
      <c r="Y20" s="2">
        <v>0.22</v>
      </c>
      <c r="Z20" s="2">
        <v>3.16</v>
      </c>
      <c r="AA20" s="2">
        <v>0.19</v>
      </c>
      <c r="AB20" s="2">
        <v>3.43</v>
      </c>
      <c r="AC20" s="2">
        <v>0.68</v>
      </c>
      <c r="AD20" s="2">
        <v>3.52</v>
      </c>
      <c r="AE20" s="2">
        <v>0.5</v>
      </c>
      <c r="AF20" s="2">
        <v>3.23</v>
      </c>
      <c r="AG20" s="2">
        <v>0.18</v>
      </c>
      <c r="AH20" s="2">
        <v>2.86</v>
      </c>
      <c r="AI20" s="2">
        <v>0.2</v>
      </c>
      <c r="AJ20" s="2">
        <v>2.81</v>
      </c>
      <c r="AK20" s="2">
        <v>0.21</v>
      </c>
      <c r="AL20" s="2">
        <v>2.67</v>
      </c>
      <c r="AM20" s="2">
        <v>0</v>
      </c>
      <c r="AN20" s="2">
        <v>3.12</v>
      </c>
      <c r="AO20" s="2">
        <v>0.74</v>
      </c>
      <c r="AP20" s="3">
        <v>3.024</v>
      </c>
      <c r="AQ20" s="3">
        <v>0.33400000000000007</v>
      </c>
    </row>
    <row r="21" spans="1:43" x14ac:dyDescent="0.3">
      <c r="A21" s="1" t="s">
        <v>50</v>
      </c>
      <c r="B21" s="1" t="s">
        <v>19</v>
      </c>
      <c r="C21" s="1" t="s">
        <v>73</v>
      </c>
      <c r="D21" s="2">
        <v>26112</v>
      </c>
      <c r="E21" s="2">
        <v>28402</v>
      </c>
      <c r="F21" s="2">
        <v>34621</v>
      </c>
      <c r="G21" s="2">
        <v>44523</v>
      </c>
      <c r="H21" s="2">
        <v>50630</v>
      </c>
      <c r="I21" s="2">
        <v>47799</v>
      </c>
      <c r="J21" s="2">
        <v>46597</v>
      </c>
      <c r="K21" s="2">
        <v>57524</v>
      </c>
      <c r="L21" s="2">
        <v>71997</v>
      </c>
      <c r="M21" s="2">
        <v>61217</v>
      </c>
      <c r="N21" s="2">
        <f t="shared" si="0"/>
        <v>469422</v>
      </c>
      <c r="O21" s="2">
        <v>31503</v>
      </c>
      <c r="P21" s="2">
        <v>312179</v>
      </c>
      <c r="Q21" s="2">
        <v>66217</v>
      </c>
      <c r="R21" s="2">
        <v>19124</v>
      </c>
      <c r="S21" s="2">
        <v>8717</v>
      </c>
      <c r="T21" s="2">
        <v>10519</v>
      </c>
      <c r="U21" s="2">
        <v>21163</v>
      </c>
      <c r="V21" s="2">
        <v>3.37</v>
      </c>
      <c r="W21" s="2">
        <v>0.47</v>
      </c>
      <c r="X21" s="2">
        <v>3.12</v>
      </c>
      <c r="Y21" s="2">
        <v>0.57999999999999996</v>
      </c>
      <c r="Z21" s="2">
        <v>3.88</v>
      </c>
      <c r="AA21" s="2">
        <v>0.4</v>
      </c>
      <c r="AB21" s="2">
        <v>3.63</v>
      </c>
      <c r="AC21" s="2">
        <v>0.31</v>
      </c>
      <c r="AD21" s="2">
        <v>3.65</v>
      </c>
      <c r="AE21" s="2">
        <v>0.42</v>
      </c>
      <c r="AF21" s="2">
        <v>3.49</v>
      </c>
      <c r="AG21" s="2">
        <v>0.25</v>
      </c>
      <c r="AH21" s="2">
        <v>3.73</v>
      </c>
      <c r="AI21" s="2">
        <v>0.41</v>
      </c>
      <c r="AJ21" s="2">
        <v>3.32</v>
      </c>
      <c r="AK21" s="2">
        <v>0.33</v>
      </c>
      <c r="AL21" s="2">
        <v>3.64</v>
      </c>
      <c r="AM21" s="2">
        <v>0.6</v>
      </c>
      <c r="AN21" s="2">
        <v>3.5</v>
      </c>
      <c r="AO21" s="2">
        <v>0.31</v>
      </c>
      <c r="AP21" s="3">
        <v>3.5329999999999999</v>
      </c>
      <c r="AQ21" s="3">
        <v>0.40800000000000003</v>
      </c>
    </row>
    <row r="22" spans="1:43" x14ac:dyDescent="0.3">
      <c r="A22" s="1" t="s">
        <v>51</v>
      </c>
      <c r="B22" s="1" t="s">
        <v>20</v>
      </c>
      <c r="C22" s="1" t="s">
        <v>74</v>
      </c>
      <c r="D22" s="2">
        <v>15713</v>
      </c>
      <c r="E22" s="2">
        <v>14428</v>
      </c>
      <c r="F22" s="2">
        <v>17419</v>
      </c>
      <c r="G22" s="2">
        <v>18171</v>
      </c>
      <c r="H22" s="2">
        <v>18213</v>
      </c>
      <c r="I22" s="2">
        <v>14564</v>
      </c>
      <c r="J22" s="2">
        <v>14698</v>
      </c>
      <c r="K22" s="2">
        <v>16323</v>
      </c>
      <c r="L22" s="2">
        <v>22024</v>
      </c>
      <c r="M22" s="2">
        <v>21896</v>
      </c>
      <c r="N22" s="2">
        <f t="shared" si="0"/>
        <v>173449</v>
      </c>
      <c r="O22" s="2">
        <v>9832</v>
      </c>
      <c r="P22" s="2">
        <v>70362</v>
      </c>
      <c r="Q22" s="2">
        <v>27143</v>
      </c>
      <c r="R22" s="2">
        <v>10682</v>
      </c>
      <c r="S22" s="2">
        <v>7079</v>
      </c>
      <c r="T22" s="2">
        <v>13196</v>
      </c>
      <c r="U22" s="2">
        <v>35155</v>
      </c>
      <c r="V22" s="2">
        <v>5.94</v>
      </c>
      <c r="W22" s="2">
        <v>0.45</v>
      </c>
      <c r="X22" s="2">
        <v>6.4</v>
      </c>
      <c r="Y22" s="2">
        <v>0.28000000000000003</v>
      </c>
      <c r="Z22" s="2">
        <v>6.34</v>
      </c>
      <c r="AA22" s="2">
        <v>0.28000000000000003</v>
      </c>
      <c r="AB22" s="2">
        <v>5.42</v>
      </c>
      <c r="AC22" s="2">
        <v>0.49</v>
      </c>
      <c r="AD22" s="2">
        <v>5.48</v>
      </c>
      <c r="AE22" s="2">
        <v>0.79</v>
      </c>
      <c r="AF22" s="2">
        <v>4.82</v>
      </c>
      <c r="AG22" s="2">
        <v>0.72</v>
      </c>
      <c r="AH22" s="2">
        <v>4.51</v>
      </c>
      <c r="AI22" s="2">
        <v>0.56999999999999995</v>
      </c>
      <c r="AJ22" s="2">
        <v>4.58</v>
      </c>
      <c r="AK22" s="2">
        <v>0.19</v>
      </c>
      <c r="AL22" s="2">
        <v>5.45</v>
      </c>
      <c r="AM22" s="2">
        <v>0.63</v>
      </c>
      <c r="AN22" s="2">
        <v>5.27</v>
      </c>
      <c r="AO22" s="2">
        <v>1.1200000000000001</v>
      </c>
      <c r="AP22" s="3">
        <v>5.4210000000000012</v>
      </c>
      <c r="AQ22" s="3">
        <v>0.55199999999999994</v>
      </c>
    </row>
    <row r="23" spans="1:43" x14ac:dyDescent="0.3">
      <c r="A23" s="1" t="s">
        <v>51</v>
      </c>
      <c r="B23" s="1" t="s">
        <v>21</v>
      </c>
      <c r="C23" s="1" t="s">
        <v>75</v>
      </c>
      <c r="D23" s="2">
        <v>9479</v>
      </c>
      <c r="E23" s="2">
        <v>8263</v>
      </c>
      <c r="F23" s="2">
        <v>8944</v>
      </c>
      <c r="G23" s="2">
        <v>8814</v>
      </c>
      <c r="H23" s="2">
        <v>9376</v>
      </c>
      <c r="I23" s="2">
        <v>6298</v>
      </c>
      <c r="J23" s="2">
        <v>6332</v>
      </c>
      <c r="K23" s="2">
        <v>6581</v>
      </c>
      <c r="L23" s="2">
        <v>8861</v>
      </c>
      <c r="M23" s="2">
        <v>9194</v>
      </c>
      <c r="N23" s="2">
        <f t="shared" si="0"/>
        <v>82142</v>
      </c>
      <c r="O23" s="2">
        <v>3758</v>
      </c>
      <c r="P23" s="2">
        <v>26199</v>
      </c>
      <c r="Q23" s="2">
        <v>17060</v>
      </c>
      <c r="R23" s="2">
        <v>6481</v>
      </c>
      <c r="S23" s="2">
        <v>3256</v>
      </c>
      <c r="T23" s="2">
        <v>6376</v>
      </c>
      <c r="U23" s="2">
        <v>19012</v>
      </c>
      <c r="V23" s="2">
        <v>8.9700000000000006</v>
      </c>
      <c r="W23" s="2">
        <v>0.32</v>
      </c>
      <c r="X23" s="2">
        <v>8.1199999999999992</v>
      </c>
      <c r="Y23" s="2">
        <v>0.18</v>
      </c>
      <c r="Z23" s="2">
        <v>8.18</v>
      </c>
      <c r="AA23" s="2">
        <v>0.51</v>
      </c>
      <c r="AB23" s="2">
        <v>7.17</v>
      </c>
      <c r="AC23" s="2">
        <v>0.38</v>
      </c>
      <c r="AD23" s="2">
        <v>7.02</v>
      </c>
      <c r="AE23" s="2">
        <v>0</v>
      </c>
      <c r="AF23" s="2">
        <v>7.08</v>
      </c>
      <c r="AG23" s="2">
        <v>0</v>
      </c>
      <c r="AH23" s="2">
        <v>6.77</v>
      </c>
      <c r="AI23" s="2">
        <v>0.57999999999999996</v>
      </c>
      <c r="AJ23" s="2">
        <v>6.62</v>
      </c>
      <c r="AK23" s="2">
        <v>0.19</v>
      </c>
      <c r="AL23" s="2">
        <v>6.27</v>
      </c>
      <c r="AM23" s="2">
        <v>0</v>
      </c>
      <c r="AN23" s="2">
        <v>6.61</v>
      </c>
      <c r="AO23" s="2">
        <v>0.56000000000000005</v>
      </c>
      <c r="AP23" s="3">
        <v>7.2809999999999988</v>
      </c>
      <c r="AQ23" s="3">
        <v>0.27200000000000002</v>
      </c>
    </row>
    <row r="24" spans="1:43" x14ac:dyDescent="0.3">
      <c r="A24" s="1" t="s">
        <v>51</v>
      </c>
      <c r="B24" s="1" t="s">
        <v>22</v>
      </c>
      <c r="C24" s="1" t="s">
        <v>76</v>
      </c>
      <c r="D24" s="2">
        <v>5700</v>
      </c>
      <c r="E24" s="2">
        <v>5226</v>
      </c>
      <c r="F24" s="2">
        <v>7102</v>
      </c>
      <c r="G24" s="2">
        <v>6887</v>
      </c>
      <c r="H24" s="2">
        <v>8338</v>
      </c>
      <c r="I24" s="2">
        <v>6341</v>
      </c>
      <c r="J24" s="2">
        <v>6482</v>
      </c>
      <c r="K24" s="2">
        <v>6263</v>
      </c>
      <c r="L24" s="2">
        <v>8579</v>
      </c>
      <c r="M24" s="2">
        <v>9485</v>
      </c>
      <c r="N24" s="2">
        <f t="shared" si="0"/>
        <v>70403</v>
      </c>
      <c r="O24" s="2">
        <v>5917</v>
      </c>
      <c r="P24" s="2">
        <v>23928</v>
      </c>
      <c r="Q24" s="2">
        <v>13659</v>
      </c>
      <c r="R24" s="2">
        <v>4637</v>
      </c>
      <c r="S24" s="2">
        <v>2904</v>
      </c>
      <c r="T24" s="2">
        <v>5501</v>
      </c>
      <c r="U24" s="2">
        <v>13857</v>
      </c>
      <c r="V24" s="2">
        <v>6.79</v>
      </c>
      <c r="W24" s="2">
        <v>0.13</v>
      </c>
      <c r="X24" s="2">
        <v>6.5</v>
      </c>
      <c r="Y24" s="2">
        <v>0.14000000000000001</v>
      </c>
      <c r="Z24" s="2">
        <v>6.7</v>
      </c>
      <c r="AA24" s="2">
        <v>0.4</v>
      </c>
      <c r="AB24" s="2">
        <v>5.4</v>
      </c>
      <c r="AC24" s="2">
        <v>0.5</v>
      </c>
      <c r="AD24" s="2">
        <v>5.8</v>
      </c>
      <c r="AE24" s="2">
        <v>0</v>
      </c>
      <c r="AF24" s="2">
        <v>4.6100000000000003</v>
      </c>
      <c r="AG24" s="2">
        <v>0.39</v>
      </c>
      <c r="AH24" s="2">
        <v>4.71</v>
      </c>
      <c r="AI24" s="2">
        <v>1.1299999999999999</v>
      </c>
      <c r="AJ24" s="2">
        <v>4.53</v>
      </c>
      <c r="AK24" s="2">
        <v>0.59</v>
      </c>
      <c r="AL24" s="2">
        <v>5.35</v>
      </c>
      <c r="AM24" s="2">
        <v>0.17</v>
      </c>
      <c r="AN24" s="2">
        <v>5.89</v>
      </c>
      <c r="AO24" s="2">
        <v>0.61</v>
      </c>
      <c r="AP24" s="3">
        <v>5.628000000000001</v>
      </c>
      <c r="AQ24" s="3">
        <v>0.40599999999999997</v>
      </c>
    </row>
    <row r="25" spans="1:43" x14ac:dyDescent="0.3">
      <c r="A25" s="1" t="s">
        <v>52</v>
      </c>
      <c r="B25" s="1" t="s">
        <v>23</v>
      </c>
      <c r="C25" s="1" t="s">
        <v>77</v>
      </c>
      <c r="D25" s="2">
        <v>2201</v>
      </c>
      <c r="E25" s="2">
        <v>2075</v>
      </c>
      <c r="F25" s="2">
        <v>2951</v>
      </c>
      <c r="G25" s="2">
        <v>3463</v>
      </c>
      <c r="H25" s="2">
        <v>4070</v>
      </c>
      <c r="I25" s="2">
        <v>3886</v>
      </c>
      <c r="J25" s="2">
        <v>4271</v>
      </c>
      <c r="K25" s="2">
        <v>5304</v>
      </c>
      <c r="L25" s="2">
        <v>6825</v>
      </c>
      <c r="M25" s="2">
        <v>6972</v>
      </c>
      <c r="N25" s="2">
        <f>SUM(D25:M25)</f>
        <v>42018</v>
      </c>
      <c r="O25" s="2">
        <v>2668</v>
      </c>
      <c r="P25" s="2">
        <v>26983</v>
      </c>
      <c r="Q25" s="2">
        <v>7183</v>
      </c>
      <c r="R25" s="2">
        <v>1989</v>
      </c>
      <c r="S25" s="2">
        <v>881</v>
      </c>
      <c r="T25" s="2">
        <v>843</v>
      </c>
      <c r="U25" s="2">
        <v>1471</v>
      </c>
      <c r="V25" s="2">
        <v>17.38</v>
      </c>
      <c r="W25" s="2">
        <v>0</v>
      </c>
      <c r="X25" s="2">
        <v>16.95</v>
      </c>
      <c r="Y25" s="2">
        <v>0.22</v>
      </c>
      <c r="Z25" s="2">
        <v>18.82</v>
      </c>
      <c r="AA25" s="2">
        <v>0.2</v>
      </c>
      <c r="AB25" s="2">
        <v>15.62</v>
      </c>
      <c r="AC25" s="2">
        <v>0.23</v>
      </c>
      <c r="AD25" s="2">
        <v>17.39</v>
      </c>
      <c r="AE25" s="2">
        <v>0.21</v>
      </c>
      <c r="AF25" s="2">
        <v>12.11</v>
      </c>
      <c r="AG25" s="2">
        <v>0.59</v>
      </c>
      <c r="AH25" s="2">
        <v>12.32</v>
      </c>
      <c r="AI25" s="2">
        <v>0.56999999999999995</v>
      </c>
      <c r="AJ25" s="2">
        <v>11.84</v>
      </c>
      <c r="AK25" s="2">
        <v>0</v>
      </c>
      <c r="AL25" s="2">
        <v>11.57</v>
      </c>
      <c r="AM25" s="2">
        <v>0.3</v>
      </c>
      <c r="AN25" s="2">
        <v>14.54</v>
      </c>
      <c r="AO25" s="2">
        <v>0.24</v>
      </c>
      <c r="AP25" s="3">
        <v>14.853999999999999</v>
      </c>
      <c r="AQ25" s="3">
        <v>0.25599999999999995</v>
      </c>
    </row>
    <row r="26" spans="1:43" x14ac:dyDescent="0.3">
      <c r="A26" s="1" t="s">
        <v>52</v>
      </c>
      <c r="B26" s="1" t="s">
        <v>24</v>
      </c>
      <c r="C26" s="1" t="s">
        <v>78</v>
      </c>
      <c r="D26" s="2">
        <v>2268</v>
      </c>
      <c r="E26" s="2">
        <v>2241</v>
      </c>
      <c r="F26" s="2">
        <v>2287</v>
      </c>
      <c r="G26" s="2">
        <v>2113</v>
      </c>
      <c r="H26" s="2">
        <v>2994</v>
      </c>
      <c r="I26" s="2">
        <v>2387</v>
      </c>
      <c r="J26" s="2">
        <v>2185</v>
      </c>
      <c r="K26" s="2">
        <v>2747</v>
      </c>
      <c r="L26" s="2">
        <v>3623</v>
      </c>
      <c r="M26" s="2">
        <v>3310</v>
      </c>
      <c r="N26" s="2">
        <f t="shared" si="0"/>
        <v>26155</v>
      </c>
      <c r="O26" s="2">
        <v>1453</v>
      </c>
      <c r="P26" s="2">
        <v>9849</v>
      </c>
      <c r="Q26" s="2">
        <v>7892</v>
      </c>
      <c r="R26" s="2">
        <v>3635</v>
      </c>
      <c r="S26" s="2">
        <v>1459</v>
      </c>
      <c r="T26" s="2">
        <v>809</v>
      </c>
      <c r="U26" s="2">
        <v>1058</v>
      </c>
      <c r="V26" s="2">
        <v>35.159999999999997</v>
      </c>
      <c r="W26" s="2">
        <v>0.34</v>
      </c>
      <c r="X26" s="2">
        <v>33.79</v>
      </c>
      <c r="Y26" s="2">
        <v>0.53</v>
      </c>
      <c r="Z26" s="2">
        <v>31.75</v>
      </c>
      <c r="AA26" s="2">
        <v>0.83</v>
      </c>
      <c r="AB26" s="2">
        <v>27.19</v>
      </c>
      <c r="AC26" s="2">
        <v>0.63</v>
      </c>
      <c r="AD26" s="2">
        <v>35.42</v>
      </c>
      <c r="AE26" s="2">
        <v>0.72</v>
      </c>
      <c r="AF26" s="2">
        <v>29.37</v>
      </c>
      <c r="AG26" s="2">
        <v>0.47</v>
      </c>
      <c r="AH26" s="2">
        <v>27.82</v>
      </c>
      <c r="AI26" s="2">
        <v>0.88</v>
      </c>
      <c r="AJ26" s="2">
        <v>23.78</v>
      </c>
      <c r="AK26" s="2">
        <v>0.45</v>
      </c>
      <c r="AL26" s="2">
        <v>29.96</v>
      </c>
      <c r="AM26" s="2">
        <v>0.35</v>
      </c>
      <c r="AN26" s="2">
        <v>27.24</v>
      </c>
      <c r="AO26" s="2">
        <v>0.48</v>
      </c>
      <c r="AP26" s="3">
        <v>30.148000000000003</v>
      </c>
      <c r="AQ26" s="3">
        <v>0.56799999999999995</v>
      </c>
    </row>
    <row r="27" spans="1:43" x14ac:dyDescent="0.3">
      <c r="A27" s="1" t="s">
        <v>52</v>
      </c>
      <c r="B27" s="1" t="s">
        <v>25</v>
      </c>
      <c r="C27" s="1" t="s">
        <v>79</v>
      </c>
      <c r="D27" s="2">
        <v>3532</v>
      </c>
      <c r="E27" s="2">
        <v>4108</v>
      </c>
      <c r="F27" s="2">
        <v>5712</v>
      </c>
      <c r="G27" s="2">
        <v>7097</v>
      </c>
      <c r="H27" s="2">
        <v>8402</v>
      </c>
      <c r="I27" s="2">
        <v>7714</v>
      </c>
      <c r="J27" s="2">
        <v>8656</v>
      </c>
      <c r="K27" s="2">
        <v>9713</v>
      </c>
      <c r="L27" s="2">
        <v>12132</v>
      </c>
      <c r="M27" s="2">
        <v>11061</v>
      </c>
      <c r="N27" s="2">
        <f t="shared" si="0"/>
        <v>78127</v>
      </c>
      <c r="O27" s="2">
        <v>4304</v>
      </c>
      <c r="P27" s="2">
        <v>42864</v>
      </c>
      <c r="Q27" s="2">
        <v>16041</v>
      </c>
      <c r="R27" s="2">
        <v>5615</v>
      </c>
      <c r="S27" s="2">
        <v>2709</v>
      </c>
      <c r="T27" s="2">
        <v>2499</v>
      </c>
      <c r="U27" s="2">
        <v>4095</v>
      </c>
      <c r="V27" s="2">
        <v>13.05</v>
      </c>
      <c r="W27" s="2">
        <v>0.57999999999999996</v>
      </c>
      <c r="X27" s="2">
        <v>14.66</v>
      </c>
      <c r="Y27" s="2">
        <v>0.51</v>
      </c>
      <c r="Z27" s="2">
        <v>17.940000000000001</v>
      </c>
      <c r="AA27" s="2">
        <v>0.9</v>
      </c>
      <c r="AB27" s="2">
        <v>13.73</v>
      </c>
      <c r="AC27" s="2">
        <v>0.53</v>
      </c>
      <c r="AD27" s="2">
        <v>15.63</v>
      </c>
      <c r="AE27" s="2">
        <v>0.46</v>
      </c>
      <c r="AF27" s="2">
        <v>16.16</v>
      </c>
      <c r="AG27" s="2">
        <v>0.61</v>
      </c>
      <c r="AH27" s="2">
        <v>19.440000000000001</v>
      </c>
      <c r="AI27" s="2">
        <v>0.36</v>
      </c>
      <c r="AJ27" s="2">
        <v>14.47</v>
      </c>
      <c r="AK27" s="2">
        <v>0.57999999999999996</v>
      </c>
      <c r="AL27" s="2">
        <v>15.64</v>
      </c>
      <c r="AM27" s="2">
        <v>0.88</v>
      </c>
      <c r="AN27" s="2">
        <v>14.62</v>
      </c>
      <c r="AO27" s="2">
        <v>1.3</v>
      </c>
      <c r="AP27" s="3">
        <v>15.534000000000001</v>
      </c>
      <c r="AQ27" s="3">
        <v>0.67099999999999993</v>
      </c>
    </row>
    <row r="28" spans="1:43" x14ac:dyDescent="0.3">
      <c r="A28" s="1" t="s">
        <v>52</v>
      </c>
      <c r="B28" s="1" t="s">
        <v>26</v>
      </c>
      <c r="C28" s="1" t="s">
        <v>80</v>
      </c>
      <c r="D28" s="2">
        <v>792</v>
      </c>
      <c r="E28" s="2">
        <v>1198</v>
      </c>
      <c r="F28" s="2">
        <v>1253</v>
      </c>
      <c r="G28" s="2">
        <v>1698</v>
      </c>
      <c r="H28" s="2">
        <v>2190</v>
      </c>
      <c r="I28" s="2">
        <v>2227</v>
      </c>
      <c r="J28" s="2">
        <v>2481</v>
      </c>
      <c r="K28" s="2">
        <v>2727</v>
      </c>
      <c r="L28" s="2">
        <v>3628</v>
      </c>
      <c r="M28" s="2">
        <v>4069</v>
      </c>
      <c r="N28" s="2">
        <f t="shared" si="0"/>
        <v>22263</v>
      </c>
      <c r="O28" s="2">
        <v>3348</v>
      </c>
      <c r="P28" s="2">
        <v>9214</v>
      </c>
      <c r="Q28" s="2">
        <v>5461</v>
      </c>
      <c r="R28" s="2">
        <v>1972</v>
      </c>
      <c r="S28" s="2">
        <v>868</v>
      </c>
      <c r="T28" s="2">
        <v>607</v>
      </c>
      <c r="U28" s="2">
        <v>793</v>
      </c>
      <c r="V28" s="2">
        <v>2.15</v>
      </c>
      <c r="W28" s="2">
        <v>0</v>
      </c>
      <c r="X28" s="2">
        <v>2.37</v>
      </c>
      <c r="Y28" s="2">
        <v>1.49</v>
      </c>
      <c r="Z28" s="2">
        <v>2.63</v>
      </c>
      <c r="AA28" s="2">
        <v>0</v>
      </c>
      <c r="AB28" s="2">
        <v>2.61</v>
      </c>
      <c r="AC28" s="2">
        <v>0</v>
      </c>
      <c r="AD28" s="2">
        <v>2.21</v>
      </c>
      <c r="AE28" s="2">
        <v>0</v>
      </c>
      <c r="AF28" s="2">
        <v>2.5</v>
      </c>
      <c r="AG28" s="2">
        <v>0</v>
      </c>
      <c r="AH28" s="2">
        <v>2.79</v>
      </c>
      <c r="AI28" s="2">
        <v>0</v>
      </c>
      <c r="AJ28" s="2">
        <v>2.37</v>
      </c>
      <c r="AK28" s="2">
        <v>0</v>
      </c>
      <c r="AL28" s="2">
        <v>2.8</v>
      </c>
      <c r="AM28" s="2">
        <v>0</v>
      </c>
      <c r="AN28" s="2">
        <v>1.58</v>
      </c>
      <c r="AO28" s="2">
        <v>2.13</v>
      </c>
      <c r="AP28" s="3">
        <v>2.4009999999999998</v>
      </c>
      <c r="AQ28" s="3">
        <v>0.36199999999999999</v>
      </c>
    </row>
    <row r="29" spans="1:43" x14ac:dyDescent="0.3">
      <c r="A29" s="1" t="s">
        <v>53</v>
      </c>
      <c r="B29" s="1" t="s">
        <v>43</v>
      </c>
      <c r="D29" s="2">
        <f>SUM(D2:D28)</f>
        <v>171768</v>
      </c>
      <c r="E29" s="2">
        <f t="shared" ref="E29:M29" si="1">SUM(E2:E28)</f>
        <v>174457</v>
      </c>
      <c r="F29" s="2">
        <f t="shared" si="1"/>
        <v>223829</v>
      </c>
      <c r="G29" s="2">
        <f t="shared" si="1"/>
        <v>268217</v>
      </c>
      <c r="H29" s="2">
        <f t="shared" si="1"/>
        <v>292746</v>
      </c>
      <c r="I29" s="2">
        <f t="shared" si="1"/>
        <v>254648</v>
      </c>
      <c r="J29" s="2">
        <f t="shared" si="1"/>
        <v>263074</v>
      </c>
      <c r="K29" s="2">
        <f t="shared" si="1"/>
        <v>299017</v>
      </c>
      <c r="L29" s="2">
        <f t="shared" si="1"/>
        <v>353076</v>
      </c>
      <c r="M29" s="2">
        <f t="shared" si="1"/>
        <v>344227</v>
      </c>
      <c r="N29" s="2">
        <f>SUM(N2:N28)</f>
        <v>2645059</v>
      </c>
      <c r="O29" s="2">
        <f>SUM(O2:O28)</f>
        <v>222930</v>
      </c>
      <c r="P29" s="2">
        <f t="shared" ref="P29:U29" si="2">SUM(P2:P28)</f>
        <v>1312537</v>
      </c>
      <c r="Q29" s="2">
        <f t="shared" si="2"/>
        <v>580257</v>
      </c>
      <c r="R29" s="2">
        <f t="shared" si="2"/>
        <v>189590</v>
      </c>
      <c r="S29" s="2">
        <f t="shared" si="2"/>
        <v>87854</v>
      </c>
      <c r="T29" s="2">
        <f t="shared" si="2"/>
        <v>90322</v>
      </c>
      <c r="U29" s="2">
        <f t="shared" si="2"/>
        <v>161569</v>
      </c>
      <c r="V29" s="2">
        <v>11.37</v>
      </c>
      <c r="W29" s="2">
        <v>0.43</v>
      </c>
      <c r="X29" s="2">
        <v>11.09</v>
      </c>
      <c r="Y29" s="2">
        <v>0.51</v>
      </c>
      <c r="Z29" s="2">
        <v>12.03</v>
      </c>
      <c r="AA29" s="2">
        <v>0.43</v>
      </c>
      <c r="AB29" s="2">
        <v>11.92</v>
      </c>
      <c r="AC29" s="2">
        <v>0.42</v>
      </c>
      <c r="AD29" s="2">
        <v>13.46</v>
      </c>
      <c r="AE29" s="2">
        <v>0.52</v>
      </c>
      <c r="AF29" s="2">
        <v>12.9</v>
      </c>
      <c r="AG29" s="2">
        <v>0.45</v>
      </c>
      <c r="AH29" s="2">
        <v>13.12</v>
      </c>
      <c r="AI29" s="2">
        <v>0.54</v>
      </c>
      <c r="AJ29" s="2">
        <v>12.13</v>
      </c>
      <c r="AK29" s="2">
        <v>0.36</v>
      </c>
      <c r="AL29" s="2">
        <v>12.3</v>
      </c>
      <c r="AM29" s="2">
        <v>0.45</v>
      </c>
      <c r="AN29" s="2">
        <v>11.77</v>
      </c>
      <c r="AO29" s="2">
        <v>0.47</v>
      </c>
      <c r="AP29" s="3">
        <f>SUM(AP2:AP28)/27</f>
        <v>20.161888888888889</v>
      </c>
      <c r="AQ29" s="3">
        <f>SUM(AQ2:AQ28)/27</f>
        <v>0.45740740740740732</v>
      </c>
    </row>
    <row r="30" spans="1:43" x14ac:dyDescent="0.3">
      <c r="AP30" s="2"/>
    </row>
  </sheetData>
  <phoneticPr fontId="19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sinannet_cnv_animaisbr181817177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Weslley Ruan da Silva</cp:lastModifiedBy>
  <dcterms:created xsi:type="dcterms:W3CDTF">2026-02-09T14:34:51Z</dcterms:created>
  <dcterms:modified xsi:type="dcterms:W3CDTF">2026-02-09T16:22:14Z</dcterms:modified>
</cp:coreProperties>
</file>